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646FF1B-32FD-467C-82C7-E3CFD3BC6EB3}" xr6:coauthVersionLast="47" xr6:coauthVersionMax="47" xr10:uidLastSave="{00000000-0000-0000-0000-000000000000}"/>
  <bookViews>
    <workbookView xWindow="-8436" yWindow="1356" windowWidth="17280" windowHeight="8880" activeTab="1" xr2:uid="{60C2E2F6-AD98-4042-9BF5-DA3DB7B4AD4C}"/>
  </bookViews>
  <sheets>
    <sheet name="工作表2" sheetId="2" r:id="rId1"/>
    <sheet name="工作表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L2" i="1"/>
  <c r="K3" i="1" a="1"/>
  <c r="K3" i="1"/>
  <c r="K2" i="1" a="1"/>
  <c r="K2" i="1" s="1"/>
  <c r="C17" i="1"/>
  <c r="D17" i="1"/>
  <c r="L6" i="1"/>
  <c r="L7" i="1"/>
  <c r="L8" i="1"/>
  <c r="L9" i="1"/>
  <c r="L10" i="1"/>
  <c r="L14" i="1"/>
  <c r="K6" i="1" a="1"/>
  <c r="K6" i="1"/>
  <c r="K7" i="1" a="1"/>
  <c r="K7" i="1"/>
  <c r="K8" i="1" a="1"/>
  <c r="K8" i="1"/>
  <c r="K9" i="1" a="1"/>
  <c r="K9" i="1"/>
  <c r="J15" i="1"/>
  <c r="L15" i="1" s="1"/>
  <c r="J14" i="1"/>
  <c r="K14" i="1" s="1" a="1"/>
  <c r="K14" i="1" s="1"/>
  <c r="J13" i="1"/>
  <c r="K13" i="1" s="1" a="1"/>
  <c r="K13" i="1" s="1"/>
  <c r="J10" i="1"/>
  <c r="K10" i="1" s="1" a="1"/>
  <c r="K10" i="1" s="1"/>
  <c r="J9" i="1"/>
  <c r="J8" i="1"/>
  <c r="J7" i="1"/>
  <c r="J6" i="1"/>
  <c r="J4" i="1"/>
  <c r="K4" i="1" s="1" a="1"/>
  <c r="K4" i="1" s="1"/>
  <c r="J5" i="1"/>
  <c r="L5" i="1" s="1"/>
  <c r="H15" i="1"/>
  <c r="H14" i="1"/>
  <c r="H13" i="1"/>
  <c r="H12" i="1"/>
  <c r="J12" i="1" s="1"/>
  <c r="H11" i="1"/>
  <c r="J11" i="1" s="1"/>
  <c r="H10" i="1"/>
  <c r="H9" i="1"/>
  <c r="H8" i="1"/>
  <c r="H6" i="1"/>
  <c r="H7" i="1"/>
  <c r="H5" i="1"/>
  <c r="H4" i="1"/>
  <c r="H3" i="1"/>
  <c r="H2" i="1"/>
  <c r="H17" i="1" s="1"/>
  <c r="K11" i="1" l="1" a="1"/>
  <c r="K11" i="1" s="1"/>
  <c r="L11" i="1"/>
  <c r="K12" i="1" a="1"/>
  <c r="K12" i="1" s="1"/>
  <c r="L12" i="1"/>
  <c r="L13" i="1"/>
  <c r="K15" i="1" a="1"/>
  <c r="K15" i="1" s="1"/>
  <c r="K5" i="1" a="1"/>
  <c r="K5" i="1" s="1"/>
  <c r="L4" i="1"/>
  <c r="L3" i="1"/>
  <c r="O3" i="1" s="1"/>
  <c r="J17" i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<sst xmlns="http://schemas.openxmlformats.org/spreadsheetml/2006/main" count="34" uniqueCount="34">
  <si>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</si>
  <si>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</si>
  <si>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</si>
  <si>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</si>
  <si>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</si>
  <si>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</si>
  <si>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</si>
  <si>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</si>
  <si>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</si>
  <si>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</si>
  <si>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</si>
  <si>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</si>
  <si>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</si>
  <si>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</si>
  <si>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</si>
  <si>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</si>
  <si>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</si>
  <si>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</si>
  <si>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</si>
  <si>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</si>
  <si>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</si>
  <si>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</si>
  <si>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</si>
  <si>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</si>
  <si>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</si>
  <si>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</si>
  <si>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</si>
  <si>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</si>
  <si>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</si>
  <si>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</si>
  <si>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</si>
  <si>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何大美</t>
    <phoneticPr fontId="2" type="noConversion"/>
  </si>
  <si>
    <t>ｐａｓｓ</t>
    <phoneticPr fontId="2" type="noConversion"/>
  </si>
  <si>
    <t>ｆａｉｌ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</si>
</sst>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3-4BC3-A831-AA2AEF4C2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660383"/>
        <c:axId val="1198661631"/>
      </c:barChart>
      <c:catAx>
        <c:axId val="119866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8661631"/>
        <c:crosses val="autoZero"/>
        <c:auto val="1"/>
        <c:lblAlgn val="ctr"/>
        <c:lblOffset val="100"/>
        <c:noMultiLvlLbl val="0"/>
      </c:catAx>
      <c:valAx>
        <c:axId val="119866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866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5-467E-B694-011B2961986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5-467E-B694-011B296198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工作表1!$N$2:$N$3</c:f>
              <c:strCache>
                <c:ptCount val="2"/>
                <c:pt idx="0">
                  <c:v>ｐａｓｓ</c:v>
                </c:pt>
                <c:pt idx="1">
                  <c:v>ｆａｉｌ</c:v>
                </c:pt>
              </c:strCache>
            </c:strRef>
          </c:cat>
          <c:val>
            <c:numRef>
              <c:f>工作表1!$O$2:$O$3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5-467E-B694-011B2961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24</xdr:row>
      <xdr:rowOff>22860</xdr:rowOff>
    </xdr:from>
    <xdr:to>
      <xdr:col>11</xdr:col>
      <xdr:colOff>1303020</xdr:colOff>
      <xdr:row>36</xdr:row>
      <xdr:rowOff>30480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F4F0D3D-9F42-47AC-86AE-D4408871A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1657350</xdr:colOff>
      <xdr:row>16</xdr:row>
      <xdr:rowOff>38100</xdr:rowOff>
    </xdr:from>
    <xdr:to>
      <xdr:col>14</xdr:col>
      <xdr:colOff>175260</xdr:colOff>
      <xdr:row>24</xdr:row>
      <xdr:rowOff>7620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7473288A-3A90-4E38-AB3A-B75FE9D92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1726-CB91-45BC-8965-97EFAF6969D6}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O24"/>
  <sheetViews>
    <sheetView tabSelected="1" topLeftCell="B1" zoomScale="58" zoomScaleNormal="55" workbookViewId="0">
      <selection activeCell="K18" sqref="K18"/>
    </sheetView>
  </sheetViews>
  <sheetFormatPr defaultRowHeight="16.2"/>
  <cols>
    <col min="3" max="4" width="13" bestFit="1" customWidth="1"/>
    <col min="8" max="8" width="18.6640625" bestFit="1" customWidth="1"/>
    <col min="10" max="10" width="16.109375" bestFit="1" customWidth="1"/>
    <col min="11" max="11" width="24.21875" customWidth="1"/>
    <col min="12" max="12" width="23" customWidth="1"/>
  </cols>
  <sheetData>
    <row r="1" spans="1: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3" t="s">
        <v>21</v>
      </c>
      <c r="I1" s="1" t="s">
        <v>20</v>
      </c>
      <c r="J1" s="3" t="s">
        <v>22</v>
      </c>
      <c r="K1" s="3" t="s">
        <v>23</v>
      </c>
      <c r="L1" s="3" t="s">
        <v>24</v>
      </c>
    </row>
    <row r="2" spans="1:15">
      <c r="A2" s="1">
        <v>4</v>
      </c>
      <c r="B2" s="1" t="s">
        <v>31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 t="shared" ref="H2:H15" si="0">AVERAGE(C2:G2)</f>
        <v>94.4</v>
      </c>
      <c r="I2" s="1">
        <v>89</v>
      </c>
      <c r="J2">
        <f t="shared" ref="J2:J3" si="1" xml:space="preserve"> H2 * 0.5 + I2 * 0.5</f>
        <v>91.7</v>
      </c>
      <c r="K2" t="str" cm="1">
        <f t="array" ref="K2">_xlfn.IFS(J2&gt;=90,"Ａ",J2&gt;=80,"Ｂ",J2&gt;=70,"Ｃ",J2&gt;=60,"Ｄ",J2&lt;60,"Ｆ")</f>
        <v>Ａ</v>
      </c>
      <c r="L2" t="str">
        <f>IF(J2&gt;=60,"ｐａｓｓ","ｆａｉｌ")</f>
        <v>ｐａｓｓ</v>
      </c>
      <c r="N2" t="s">
        <v>32</v>
      </c>
      <c r="O2">
        <f>COUNTIF(L2:L15,"ｐａｓｓ")</f>
        <v>12</v>
      </c>
    </row>
    <row r="3" spans="1:15">
      <c r="A3" s="1">
        <v>3</v>
      </c>
      <c r="B3" s="1" t="s">
        <v>0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si="0"/>
        <v>86</v>
      </c>
      <c r="I3" s="1">
        <v>94</v>
      </c>
      <c r="J3">
        <f t="shared" si="1"/>
        <v>90</v>
      </c>
      <c r="K3" t="str" cm="1">
        <f t="array" ref="K3">_xlfn.IFS(J3&gt;=90,"Ａ",J3&gt;=80,"Ｂ",J3&gt;=70,"Ｃ",J3&gt;=60,"Ｄ",J3&lt;60,"Ｆ")</f>
        <v>Ａ</v>
      </c>
      <c r="L3" t="str">
        <f t="shared" ref="L3:L15" si="2">IF(J3&gt;=60,"ｐａｓｓ","ｆａｉｌ")</f>
        <v>ｐａｓｓ</v>
      </c>
      <c r="N3" t="s">
        <v>33</v>
      </c>
      <c r="O3">
        <f>COUNTIF(L2:L15,"ｆａｉｌ")</f>
        <v>2</v>
      </c>
    </row>
    <row r="4" spans="1:15">
      <c r="A4" s="1">
        <v>10</v>
      </c>
      <c r="B4" s="1" t="s">
        <v>1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xml:space="preserve"> H4 * 0.5 + I4 * 0.5</f>
        <v>81.2</v>
      </c>
      <c r="K4" t="str" cm="1">
        <f t="array" ref="K4">_xlfn.IFS(J4&gt;=90,"Ａ",J4&gt;=80,"Ｂ",J4&gt;=70,"Ｃ",J4&gt;=60,"Ｄ",J4&lt;60,"Ｆ")</f>
        <v>Ｂ</v>
      </c>
      <c r="L4" t="str">
        <f t="shared" si="2"/>
        <v>ｐａｓｓ</v>
      </c>
    </row>
    <row r="5" spans="1:15">
      <c r="A5" s="1">
        <v>6</v>
      </c>
      <c r="B5" s="1" t="s">
        <v>2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>H5 * 0.5 + I5 * 0.5</f>
        <v>80.8</v>
      </c>
      <c r="K5" t="str" cm="1">
        <f t="array" ref="K5">_xlfn.IFS(J5&gt;=90,"Ａ",J5&gt;=80,"Ｂ",J5&gt;=70,"Ｃ",J5&gt;=60,"Ｄ",J5&lt;60,"Ｆ")</f>
        <v>Ｂ</v>
      </c>
      <c r="L5" t="str">
        <f t="shared" si="2"/>
        <v>ｐａｓｓ</v>
      </c>
    </row>
    <row r="6" spans="1:15">
      <c r="A6" s="1">
        <v>2</v>
      </c>
      <c r="B6" s="1" t="s">
        <v>3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ref="J6:J15" si="3">H6*0.5+I6*0.5</f>
        <v>84.7</v>
      </c>
      <c r="K6" t="str" cm="1">
        <f t="array" ref="K6">_xlfn.IFS(J6&gt;=90,"Ａ",J6&gt;=80,"Ｂ",J6&gt;=70,"Ｃ",J6&gt;=60,"Ｄ",J6&lt;60,"Ｆ")</f>
        <v>Ｂ</v>
      </c>
      <c r="L6" t="str">
        <f t="shared" si="2"/>
        <v>ｐａｓｓ</v>
      </c>
    </row>
    <row r="7" spans="1:15">
      <c r="A7" s="1">
        <v>5</v>
      </c>
      <c r="B7" s="1" t="s">
        <v>4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3"/>
        <v>80.8</v>
      </c>
      <c r="K7" t="str" cm="1">
        <f t="array" ref="K7">_xlfn.IFS(J7&gt;=90,"Ａ",J7&gt;=80,"Ｂ",J7&gt;=70,"Ｃ",J7&gt;=60,"Ｄ",J7&lt;60,"Ｆ")</f>
        <v>Ｂ</v>
      </c>
      <c r="L7" t="str">
        <f t="shared" si="2"/>
        <v>ｐａｓｓ</v>
      </c>
    </row>
    <row r="8" spans="1:15">
      <c r="A8" s="1">
        <v>7</v>
      </c>
      <c r="B8" s="1" t="s">
        <v>5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3"/>
        <v>77.900000000000006</v>
      </c>
      <c r="K8" t="str" cm="1">
        <f t="array" ref="K8">_xlfn.IFS(J8&gt;=90,"Ａ",J8&gt;=80,"Ｂ",J8&gt;=70,"Ｃ",J8&gt;=60,"Ｄ",J8&lt;60,"Ｆ")</f>
        <v>Ｃ</v>
      </c>
      <c r="L8" t="str">
        <f t="shared" si="2"/>
        <v>ｐａｓｓ</v>
      </c>
    </row>
    <row r="9" spans="1:15">
      <c r="A9" s="1">
        <v>9</v>
      </c>
      <c r="B9" s="1" t="s">
        <v>6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3"/>
        <v>74.2</v>
      </c>
      <c r="K9" t="str" cm="1">
        <f t="array" ref="K9">_xlfn.IFS(J9&gt;=90,"Ａ",J9&gt;=80,"Ｂ",J9&gt;=70,"Ｃ",J9&gt;=60,"Ｄ",J9&lt;60,"Ｆ")</f>
        <v>Ｃ</v>
      </c>
      <c r="L9" t="str">
        <f t="shared" si="2"/>
        <v>ｐａｓｓ</v>
      </c>
    </row>
    <row r="10" spans="1:15">
      <c r="A10" s="1">
        <v>13</v>
      </c>
      <c r="B10" s="1" t="s">
        <v>7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3"/>
        <v>75.2</v>
      </c>
      <c r="K10" t="str" cm="1">
        <f t="array" ref="K10">_xlfn.IFS(J10&gt;=90,"Ａ",J10&gt;=80,"Ｂ",J10&gt;=70,"Ｃ",J10&gt;=60,"Ｄ",J10&lt;60,"Ｆ")</f>
        <v>Ｃ</v>
      </c>
      <c r="L10" t="str">
        <f t="shared" si="2"/>
        <v>ｐａｓｓ</v>
      </c>
    </row>
    <row r="11" spans="1:15">
      <c r="A11" s="1">
        <v>1</v>
      </c>
      <c r="B11" s="1" t="s">
        <v>8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3"/>
        <v>77.599999999999994</v>
      </c>
      <c r="K11" t="str" cm="1">
        <f t="array" ref="K11">_xlfn.IFS(J11&gt;=90,"Ａ",J11&gt;=80,"Ｂ",J11&gt;=70,"Ｃ",J11&gt;=60,"Ｄ",J11&lt;60,"Ｆ")</f>
        <v>Ｃ</v>
      </c>
      <c r="L11" t="str">
        <f t="shared" si="2"/>
        <v>ｐａｓｓ</v>
      </c>
    </row>
    <row r="12" spans="1:15">
      <c r="A12" s="1">
        <v>8</v>
      </c>
      <c r="B12" s="1" t="s">
        <v>9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3"/>
        <v>80.599999999999994</v>
      </c>
      <c r="K12" t="str" cm="1">
        <f t="array" ref="K12">_xlfn.IFS(J12&gt;=90,"Ａ",J12&gt;=80,"Ｂ",J12&gt;=70,"Ｃ",J12&gt;=60,"Ｄ",J12&lt;60,"Ｆ")</f>
        <v>Ｂ</v>
      </c>
      <c r="L12" t="str">
        <f t="shared" si="2"/>
        <v>ｐａｓｓ</v>
      </c>
    </row>
    <row r="13" spans="1:15">
      <c r="A13" s="1">
        <v>12</v>
      </c>
      <c r="B13" s="1" t="s">
        <v>10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3"/>
        <v>59</v>
      </c>
      <c r="K13" t="str" cm="1">
        <f t="array" ref="K13">_xlfn.IFS(J13&gt;=90,"Ａ",J13&gt;=80,"Ｂ",J13&gt;=70,"Ｃ",J13&gt;=60,"Ｄ",J13&lt;60,"Ｆ")</f>
        <v>Ｆ</v>
      </c>
      <c r="L13" t="str">
        <f t="shared" si="2"/>
        <v>ｆａｉｌ</v>
      </c>
    </row>
    <row r="14" spans="1:15">
      <c r="A14" s="1">
        <v>11</v>
      </c>
      <c r="B14" s="1" t="s">
        <v>11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3"/>
        <v>66.900000000000006</v>
      </c>
      <c r="K14" t="str" cm="1">
        <f t="array" ref="K14">_xlfn.IFS(J14&gt;=90,"Ａ",J14&gt;=80,"Ｂ",J14&gt;=70,"Ｃ",J14&gt;=60,"Ｄ",J14&lt;60,"Ｆ")</f>
        <v>Ｄ</v>
      </c>
      <c r="L14" t="str">
        <f t="shared" si="2"/>
        <v>ｐａｓｓ</v>
      </c>
    </row>
    <row r="15" spans="1:15">
      <c r="A15" s="1">
        <v>14</v>
      </c>
      <c r="B15" s="1" t="s">
        <v>12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3"/>
        <v>55.6</v>
      </c>
      <c r="K15" t="str" cm="1">
        <f t="array" ref="K15">_xlfn.IFS(J15&gt;=90,"Ａ",J15&gt;=80,"Ｂ",J15&gt;=70,"Ｃ",J15&gt;=60,"Ｄ",J15&lt;60,"Ｆ")</f>
        <v>Ｆ</v>
      </c>
      <c r="L15" t="str">
        <f t="shared" si="2"/>
        <v>ｆａｉｌ</v>
      </c>
    </row>
    <row r="16" spans="1:15">
      <c r="C16" s="4" t="s">
        <v>26</v>
      </c>
      <c r="D16" s="4" t="s">
        <v>27</v>
      </c>
      <c r="H16" s="4" t="s">
        <v>28</v>
      </c>
      <c r="J16" s="4" t="s">
        <v>25</v>
      </c>
      <c r="L16" s="4" t="s">
        <v>30</v>
      </c>
    </row>
    <row r="17" spans="3:10">
      <c r="C17">
        <f>MAX(C2:C15)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</row>
    <row r="24" spans="3:10">
      <c r="J24" s="4" t="s">
        <v>29</v>
      </c>
    </row>
  </sheetData>
  <phoneticPr fontId="2" type="noConversion"/>
  <conditionalFormatting sqref="L2:L15 L17:M17">
    <cfRule type="cellIs" dxfId="2" priority="1" operator="equal">
      <formula>"ｐａｓｓ"</formula>
    </cfRule>
    <cfRule type="cellIs" dxfId="1" priority="2" operator="equal">
      <formula>"ｆａｉｌ"</formula>
    </cfRule>
    <cfRule type="cellIs" dxfId="0" priority="3" operator="equal">
      <formula>"ｐａｓｓ"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user</cp:lastModifiedBy>
  <dcterms:created xsi:type="dcterms:W3CDTF">2023-10-19T05:27:10Z</dcterms:created>
  <dcterms:modified xsi:type="dcterms:W3CDTF">2025-10-09T14:15:27Z</dcterms:modified>
</cp:coreProperties>
</file>